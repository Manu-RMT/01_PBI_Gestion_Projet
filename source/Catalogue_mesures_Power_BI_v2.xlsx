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bialx-my.sharepoint.com/personal/manuel_ramanitra_bial-r_com/Documents/Documents/Manu Projet/01_PBI_Gestion_Projet/source/"/>
    </mc:Choice>
  </mc:AlternateContent>
  <xr:revisionPtr revIDLastSave="22" documentId="11_B23E7286C988CDFB4DD72739E97E2063EF3EE654" xr6:coauthVersionLast="47" xr6:coauthVersionMax="47" xr10:uidLastSave="{7C7D796C-690F-44F1-A103-D22DCE9D8AC5}"/>
  <bookViews>
    <workbookView xWindow="-110" yWindow="-110" windowWidth="19420" windowHeight="10300" firstSheet="1" activeTab="2" xr2:uid="{00000000-000D-0000-FFFF-FFFF00000000}"/>
  </bookViews>
  <sheets>
    <sheet name="Feuil2" sheetId="5" r:id="rId1"/>
    <sheet name="Catalogue des mesures" sheetId="1" r:id="rId2"/>
    <sheet name="Synthèse" sheetId="2" r:id="rId3"/>
    <sheet name="Notes" sheetId="3" r:id="rId4"/>
  </sheets>
  <definedNames>
    <definedName name="_xlnm._FilterDatabase" localSheetId="1" hidden="1">'Catalogue des mesures'!$A$1:$G$71</definedName>
    <definedName name="_xlcn.WorksheetConnection_CataloguedesmesuresGG1" hidden="1">'Catalogue des mesures'!$G:$G</definedName>
  </definedNames>
  <calcPr calcId="191029"/>
  <pivotCaches>
    <pivotCache cacheId="14" r:id="rId5"/>
  </pivotCaches>
  <fileRecoveryPr repairLoad="1"/>
  <extLst>
    <ext xmlns:x15="http://schemas.microsoft.com/office/spreadsheetml/2010/11/main" uri="{FCE2AD5D-F65C-4FA6-A056-5C36A1767C68}">
      <x15:dataModel>
        <x15:modelTables>
          <x15:modelTable id="Plage" name="Plage" connection="WorksheetConnection_Catalogue des mesures!$G:$G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D3CDC7-F4A3-4CCA-A7FE-5CDBAC06404E}" keepAlive="1" name="ThisWorkbookDataModel" description="Modèle de donnée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D046736-4C2B-439E-A1C1-D08527AE3724}" name="WorksheetConnection_Catalogue des mesures!$G:$G" type="102" refreshedVersion="8" minRefreshableVersion="5">
    <extLst>
      <ext xmlns:x15="http://schemas.microsoft.com/office/spreadsheetml/2010/11/main" uri="{DE250136-89BD-433C-8126-D09CA5730AF9}">
        <x15:connection id="Plage" autoDelete="1">
          <x15:rangePr sourceName="_xlcn.WorksheetConnection_CataloguedesmesuresGG1"/>
        </x15:connection>
      </ext>
    </extLst>
  </connection>
</connections>
</file>

<file path=xl/sharedStrings.xml><?xml version="1.0" encoding="utf-8"?>
<sst xmlns="http://schemas.openxmlformats.org/spreadsheetml/2006/main" count="543" uniqueCount="273">
  <si>
    <t>Nom de la mesure</t>
  </si>
  <si>
    <t>Expression DAX</t>
  </si>
  <si>
    <t>Description du code</t>
  </si>
  <si>
    <t>Description métier</t>
  </si>
  <si>
    <t>Format de retour</t>
  </si>
  <si>
    <t>Table de stockage</t>
  </si>
  <si>
    <t>Catégorie de la mesure</t>
  </si>
  <si>
    <t>Date dernier reporting</t>
  </si>
  <si>
    <t>MEASURE 'Date dernier reporting' =
// Récupère la dernière date de snapshot disponible.
			    // Retire les filtres du calendrier pour éviter qu'une
			    // sélection de date masque le dernier reporting.
			    CALCULATE(
			        MAX(FactPilotageMensuel[snapshot_date]),
			        REMOVEFILTERS(Dim_Calendrier)
			    )</t>
  </si>
  <si>
    <t>Recherche la date maximale de snapshot en retirant les filtres du calendrier.</t>
  </si>
  <si>
    <t>Date du dernier snapshot de pilotage disponible, indépendamment du filtre du calendrier.</t>
  </si>
  <si>
    <t>Date courte</t>
  </si>
  <si>
    <t>MesuresTable</t>
  </si>
  <si>
    <t>Reporting</t>
  </si>
  <si>
    <t>Avancement réel moyen (%)</t>
  </si>
  <si>
    <t>MEASURE 'Avancement réel moyen (%)' =
AVERAGE(FactPilotageMensuel[actual_progress_pct])</t>
  </si>
  <si>
    <t>Calcule la moyenne de la colonne dans le contexte de filtre courant.</t>
  </si>
  <si>
    <t>Avancement réel moyen des projets/lignes visibles.</t>
  </si>
  <si>
    <t>Pourcentage (à vérifier dans le modèle)</t>
  </si>
  <si>
    <t>Délais &amp; avancement</t>
  </si>
  <si>
    <t>Avancement prévu moyen (%)</t>
  </si>
  <si>
    <t>MEASURE 'Avancement prévu moyen (%)' =
// Moyenne simple des taux d'avancement planifiés visibles.
			    AVERAGE(FactPilotageMensuel[planned_progress_pct])</t>
  </si>
  <si>
    <t>Avancement planifié moyen des projets/lignes visibles.</t>
  </si>
  <si>
    <t>Nombre entier (0 décimale)</t>
  </si>
  <si>
    <t>Avancement portefeuille (%)</t>
  </si>
  <si>
    <t>MEASURE 'Avancement portefeuille (%)' =
-- Avancement réel pondéré par le budget initial.
			-- Retourne une valeur entre 0 et 1, à formater en pourcentage.
			-- Retient le dernier snapshot de chaque projet dans le contexte courant.
			VAR ProjetsVisibles =
			    VALUES(DimProjet[project_id])
			VAR ValeurPonderee =
			    SUMX(
			        ProjetsVisibles,
			        VAR ProjetCourant = DimProjet[project_id]
			        VAR DernierSnapshot =
			            CALCULATE(
			                MAX(FactPilotageMensuel[snapshot_date]),
			                FactPilotageMensuel[project_id] = ProjetCourant
			            )
			        VAR AvancementProjet =
			            CALCULATE(
			                MAX(FactPilotageMensuel[actual_progress_pct]),
			                FactPilotageMensuel[project_id] = ProjetCourant,
			                FactPilotageMensuel[snapshot_date] = DernierSnapshot
			            )
			        VAR BudgetProjet =
			            CALCULATE(
			                MAX(DimProjet[budget_initial_eur])
			            )
			        RETURN
			            DIVIDE(AvancementProjet, 100) * BudgetProjet
			    )
			VAR BudgetTotal =
			    SUMX(
			        ProjetsVisibles,
			        CALCULATE(MAX(DimProjet[budget_initial_eur]))
			    )
			RETURN
			    DIVIDE(ValeurPonderee, BudgetTotal)</t>
  </si>
  <si>
    <t>Parcourt les projets visibles, récupère le dernier snapshot de chacun, puis agrège la valeur calculée.</t>
  </si>
  <si>
    <t>Avancement réel du portefeuille pondéré par le budget initial des projets, sur leur dernier snapshot.</t>
  </si>
  <si>
    <t>Pourcentage (2 décimales)</t>
  </si>
  <si>
    <t>Avancement prévu portefeuille (%)</t>
  </si>
  <si>
    <t>MEASURE 'Avancement prévu portefeuille (%)' =
VAR ProjetsVisibles = VALUES(DimProjet[project_id])
			VAR ValeurPonderee =
			    SUMX(
			        ProjetsVisibles,
			        VAR ProjetCourant = DimProjet[project_id]
			        VAR DernierSnapshot =
			            CALCULATE(
			                MAX(FactPilotageMensuel[snapshot_date]),
			                FactPilotageMensuel[project_id] = ProjetCourant
			            )
			        VAR AvancementProjet =
			            CALCULATE(
			                MAX(FactPilotageMensuel[planned_progress_pct]),
			                FactPilotageMensuel[project_id] = ProjetCourant,
			                FactPilotageMensuel[snapshot_date] = DernierSnapshot
			            )
			        VAR BudgetProjet = CALCULATE(MAX(DimProjet[budget_initial_eur]))
			        RETURN DIVIDE(AvancementProjet, 100) * BudgetProjet
			    )
			VAR BudgetTotal =
			    SUMX(ProjetsVisibles, CALCULATE(MAX(DimProjet[budget_initial_eur])))
			RETURN
			    DIVIDE(ValeurPonderee, BudgetTotal)</t>
  </si>
  <si>
    <t>Avancement planifié du portefeuille pondéré par le budget initial des projets, sur leur dernier snapshot.</t>
  </si>
  <si>
    <t>Écart avancement (points)</t>
  </si>
  <si>
    <t>MEASURE 'Écart avancement (points)' =
// Une valeur positive signifie que le réel dépasse le prévisionnel.
			// La mesure renvoie une différence de proportions. 
			100 * [Avancement portefeuille (%)] - [Avancement prévu portefeuille (%)]</t>
  </si>
  <si>
    <t>Évalue l'expression DAX en respectant le contexte de filtre du rapport.</t>
  </si>
  <si>
    <t>Écart entre l'avancement réel et l'avancement planifié du portefeuille, exprimé en points de pourcentage si les mesures amont sont au format proportion.</t>
  </si>
  <si>
    <t>Nombre / type à vérifier</t>
  </si>
  <si>
    <t>BAC - Budget initial</t>
  </si>
  <si>
    <t>MEASURE 'BAC - Budget initial' =
// Somme les budgets initiaux des projets visibles. 
			// Respecte les filtres et segments du rapport. 
			SUM(DimProjet[budget_initial_eur])</t>
  </si>
  <si>
    <t>Additionne les valeurs de la colonne dans le contexte de filtre courant.</t>
  </si>
  <si>
    <t>Budget initial total des projets visibles (BAC, Budget at Completion).</t>
  </si>
  <si>
    <t>Budget &amp; coûts</t>
  </si>
  <si>
    <t>Coût réel cumulé</t>
  </si>
  <si>
    <t>MEASURE 'Coût réel cumulé' =
// Additionne le coût cumulé du dernier snapshot de chaque projet. 
			// Évite de sommer plusieurs snapshots historiques d'un même projet. 
			SUMX( VALUES(DimProjet[project_id]), VAR ProjetCourant = DimProjet[project_id] VAR DernierSnapshot = CALCULATE( MAX(FactPilotageMensuel[snapshot_date]), FactPilotageMensuel[project_id] = ProjetCourant ) RETURN CALCULATE( MAX(FactPilotageMensuel[actual_cost_cumulative_eur]), FactPilotageMensuel[project_id] = ProjetCourant, FactPilotageMensuel[snapshot_date] = DernierSnapshot ) )</t>
  </si>
  <si>
    <t>Coût réel cumulé du dernier snapshot de chaque projet visible.</t>
  </si>
  <si>
    <t>Montant (€) / nombre décimal (format à vérifier)</t>
  </si>
  <si>
    <t>PV - Valeur planifiée</t>
  </si>
  <si>
    <t>MEASURE 'PV - Valeur planifiée' =
// Additionne la valeur planifiée du dernier snapshot de chaque projet. 
			// PV signifie Planned Value dans la méthode de la valeur acquise. 
			SUMX(
						VALUES(DimProjet[project_id]),
						VAR ProjetCourant = DimProjet[project_id]
						VAR DernierSnapshot = CALCULATE(
							MAX(FactPilotageMensuel[snapshot_date]),
							FactPilotageMensuel[project_id] = ProjetCourant
						)
						RETURN
							CALCULATE(
								MAX(FactPilotageMensuel[planned_value_eur]),
								FactPilotageMensuel[project_id] = ProjetCourant,
								FactPilotageMensuel[snapshot_date] = DernierSnapshot
							)
					)</t>
  </si>
  <si>
    <t>Valeur planifiée (PV) cumulée au dernier snapshot de chaque projet.</t>
  </si>
  <si>
    <t>EV - Valeur acquise estimée</t>
  </si>
  <si>
    <t>MEASURE 'EV - Valeur acquise estimée' =
-- Valeur acquise estimée = budget initial × avancement réel.
			[BAC - Budget initial] * [Avancement portefeuille (%)]</t>
  </si>
  <si>
    <t>Valeur acquise estimée, calculée comme budget initial multiplié par l'avancement réel du portefeuille.</t>
  </si>
  <si>
    <t>CPI - Performance des coûts</t>
  </si>
  <si>
    <t>MEASURE 'CPI - Performance des coûts' =
// Compare la valeur acquise estimée au coût réel. // CPI inférieur à 1 : performance des coûts défavorable. 
			DIVIDE([EV - Valeur acquise estimée], [Coût réel cumulé])</t>
  </si>
  <si>
    <t>Effectue une division sécurisée avec DIVIDE, qui gère un dénominateur nul.</t>
  </si>
  <si>
    <t>Indice de performance des coûts : EV divisée par le coût réel. Une valeur inférieure à 1 indique une performance défavorable.</t>
  </si>
  <si>
    <t>SPI - Performance des délais</t>
  </si>
  <si>
    <t>MEASURE 'SPI - Performance des délais' =
// Compare la valeur acquise à la valeur planifiée.
			    // Si &gt; 1 en avance sur le projet
			    DIVIDE(
			        [EV - Valeur acquise estimée],
			        [PV - Valeur planifiée]
			    )</t>
  </si>
  <si>
    <t>Indice de performance des délais : EV divisée par PV. Une valeur supérieure à 1 indique une avance selon le commentaire DAX.</t>
  </si>
  <si>
    <t>Nombre décimal (2 décimales)</t>
  </si>
  <si>
    <t>CV - Écart de coûts</t>
  </si>
  <si>
    <t>MEASURE 'CV - Écart de coûts' =
// Une valeur négative signale un dépassement de coûts. 
			[EV - Valeur acquise estimée] - [Coût réel cumulé]</t>
  </si>
  <si>
    <t>Écart entre la valeur acquise estimée et le coût réel ; une valeur négative indique un dépassement de coûts.</t>
  </si>
  <si>
    <t>SV - Écart de planning (€)</t>
  </si>
  <si>
    <t>MEASURE 'SV - Écart de planning (€)' =
// Une valeur négative indique un retard en valeur budgétaire. 
			[EV - Valeur acquise estimée] - [PV - Valeur planifiée]</t>
  </si>
  <si>
    <t>Écart entre la valeur acquise estimée et la valeur planifiée ; une valeur négative indique un retard en valeur budgétaire.</t>
  </si>
  <si>
    <t>EAC - Coût estimé à terminaison</t>
  </si>
  <si>
    <t>MEASURE 'EAC - Coût estimé à terminaison' =
// Estime le coût final si la performance actuelle se poursuit. 
			// Formule : coût réel + (BAC - EV) / CPI. 
			VAR CPIActuel = [CPI - Performance des coûts]
					RETURN
						IF(
							CPIActuel &gt; 0,
							[Coût réel cumulé] + DIVIDE(
								[BAC - Budget initial] - [EV - Valeur acquise estimée],
								CPIActuel
							)
						)</t>
  </si>
  <si>
    <t>Prévision du coût final si la performance de coûts actuelle se poursuit.</t>
  </si>
  <si>
    <t>VAC - Écart budgétaire final estimé</t>
  </si>
  <si>
    <t>MEASURE 'VAC - Écart budgétaire final estimé' =
// Une valeur négative suggère un dépassement budgétaire. 
			[BAC - Budget initial] - [EAC - Coût estimé à terminaison]</t>
  </si>
  <si>
    <t>Écart estimé entre le budget initial et le coût final prévisionnel ; une valeur négative suggère un dépassement.</t>
  </si>
  <si>
    <t>Nombre de tâches</t>
  </si>
  <si>
    <t>MEASURE 'Nombre de tâches' =
// Compte les identifiants de tâches distincts dans le contexte courant.
			 DISTINCTCOUNT(FactTaches[task_id])</t>
  </si>
  <si>
    <t>Compte les identifiants distincts après application des filtres indiqués.</t>
  </si>
  <si>
    <t>Nombre de tâches distinctes dans le contexte courant.</t>
  </si>
  <si>
    <t>Tâches &amp; ressources</t>
  </si>
  <si>
    <t>Tâches critiques</t>
  </si>
  <si>
    <t>MEASURE 'Tâches critiques' =
// Compte les tâches appartenant au chemin critique. 
			CALCULATE( 
			    DISTINCTCOUNT(FactTaches[task_id]), FactTaches[critical_path_flag] = "Oui" )</t>
  </si>
  <si>
    <t>Nombre de tâches appartenant au chemin critique.</t>
  </si>
  <si>
    <t>Tâches en retard</t>
  </si>
  <si>
    <t>MEASURE 'Tâches en retard' =
// Compte les tâches avec un retard positif et non terminées. 
			CALCULATE(
						DISTINCTCOUNT(FactTaches[task_id]),
						FactTaches[delay_days] &gt; 0,
						ISBLANK(FactTaches[actual_end_date])
					)</t>
  </si>
  <si>
    <t>Nombre de tâches en retard, non terminées.</t>
  </si>
  <si>
    <t>Tâches critiques en retard</t>
  </si>
  <si>
    <t>MEASURE 'Tâches critiques en retard' =
// Compte les tâches critiques, en retard et non terminées. 
			CALCULATE( DISTINCTCOUNT(FactTaches[task_id]), FactTaches[critical_path_flag] = "Oui", FactTaches[delay_days] &gt; 0, ISBLANK(FactTaches[actual_end_date]) )</t>
  </si>
  <si>
    <t>Nombre de tâches critiques en retard et non terminées.</t>
  </si>
  <si>
    <t>Charge prévue (h)</t>
  </si>
  <si>
    <t>MEASURE 'Charge prévue (h)' =
// Totalise les heures de travail planifiées dans le contexte courant. 
			SUM(FactCharge[planned_hours])</t>
  </si>
  <si>
    <t>Nombre d'heures de travail planifiées.</t>
  </si>
  <si>
    <t>Charge réelle (h)</t>
  </si>
  <si>
    <t>MEASURE 'Charge réelle (h)' =
// Totalise les heures réellement consommées.
			 SUM(FactCharge[actual_hours])</t>
  </si>
  <si>
    <t>Nombre d'heures réellement consommées.</t>
  </si>
  <si>
    <t>Nombre (heures)</t>
  </si>
  <si>
    <t>Capacité disponible (h)</t>
  </si>
  <si>
    <t>MEASURE 'Capacité disponible (h)' =
// Totalise la capacité disponible dans le contexte courant.
			 SUM(FactCharge[available_capacity_hours])</t>
  </si>
  <si>
    <t>Nombre d'heures de capacité disponible.</t>
  </si>
  <si>
    <t>Taux d'utilisation</t>
  </si>
  <si>
    <t>MEASURE 'Taux d'utilisation' =
// Rapporte la charge réelle à la capacité disponible. 
			// Le taux peut dépasser 100 % en cas de surcharge.
			 DIVIDE([Charge réelle (h)], [Capacité disponible (h)])</t>
  </si>
  <si>
    <t>Part de la capacité disponible consommée par la charge réelle ; peut dépasser 100 %.</t>
  </si>
  <si>
    <t>Ressources en surcharge</t>
  </si>
  <si>
    <t>MEASURE 'Ressources en surcharge' =
// Compte les ressources distinctes marquées en surcharge.
			 CALCULATE( DISTINCTCOUNT(FactCharge[resource_id]), FactCharge[overload_flag] = "OUi" )</t>
  </si>
  <si>
    <t>Nombre de ressources distinctes marquées en surcharge.</t>
  </si>
  <si>
    <t>Score de risque moyen (ouverts)</t>
  </si>
  <si>
    <t>MEASURE 'Score de risque moyen (ouverts)' =
// « Score de risque moyen » inclut les risques clôturés. 
			AVERAGEX(
			    FILTER(FactRisques, ISBLANK(FactRisques[closed_date])),
			    FactRisques[probability_1_5] * FactRisques[impact_1_5]
			)</t>
  </si>
  <si>
    <t>Parcourt les lignes filtrées, calcule une valeur pour chacune, puis en fait la moyenne.</t>
  </si>
  <si>
    <t>Score moyen probabilité × impact pour les risques ouverts.</t>
  </si>
  <si>
    <t>Indice / nombre décimal</t>
  </si>
  <si>
    <t>Risques</t>
  </si>
  <si>
    <t>Risques critiques ouverts</t>
  </si>
  <si>
    <t>MEASURE 'Risques critiques ouverts' =
// Compte les risques non clôturés avec probabilité et impact élevés.
			// Seuil fixé à 4 sur 5 pour les deux dimensions. 
			CALCULATE( DISTINCTCOUNT(FactRisques[risk_id]), ISBLANK(FactRisques[closed_date]), FactRisques[probability_1_5] &gt;= 4, FactRisques[impact_1_5] &gt;= 4 )</t>
  </si>
  <si>
    <t>Nombre de risques ouverts dont probabilité et impact sont tous deux supérieurs ou égaux à 4/5.</t>
  </si>
  <si>
    <t>Nombre de contrôles qualité</t>
  </si>
  <si>
    <t>MEASURE 'Nombre de contrôles qualité' =
// Compte les lignes de contrôle qualité visibles. 
			 COUNTROWS(FactControlesQualite)</t>
  </si>
  <si>
    <t>Compte les lignes de la table ou de la table filtrée.</t>
  </si>
  <si>
    <t>Nombre de lignes de contrôle qualité visibles.</t>
  </si>
  <si>
    <t>Qualité</t>
  </si>
  <si>
    <t>Taux accepté au premier contrôle</t>
  </si>
  <si>
    <t>MEASURE 'Taux accepté au premier contrôle' =
// Moyenne d'un indicateur booléen : TRUE vaut 1 et FALSE vaut 0.
			AVERAGE(FactControlesQualite[first_pass_accepted_flag])</t>
  </si>
  <si>
    <t>Moyenne de l'indicateur d'acceptation au premier contrôle (selon son encodage).</t>
  </si>
  <si>
    <t>Pilotage général</t>
  </si>
  <si>
    <t>Incidents ouverts</t>
  </si>
  <si>
    <t>MEASURE 'Incidents ouverts' =
// Compte les incidents sans date de résolution.
			 CALCULATE( DISTINCTCOUNT(FactIncidents[incident_id]), ISBLANK(FactIncidents[resolved_date]) )</t>
  </si>
  <si>
    <t>Nombre d'incidents sans date de résolution.</t>
  </si>
  <si>
    <t>Incidents</t>
  </si>
  <si>
    <t>Actions en retard</t>
  </si>
  <si>
    <t>MEASURE 'Actions en retard' =
// Compte les actions échues qui ne sont pas clôturées.
			 CALCULATE( DISTINCTCOUNT(FactActions[action_id]), FactActions[due_date] &lt; TODAY(), ISBLANK(FactActions[closed_date]) )</t>
  </si>
  <si>
    <t>Nombre d'actions échues non clôturées.</t>
  </si>
  <si>
    <t>Livrables bloqués</t>
  </si>
  <si>
    <t>MEASURE 'Livrables bloqués' =
// Compte les livrables marqués comme bloqués.
			CALCULATE( DISTINCTCOUNT(FactLivrables[deliverable_id]), FactLivrables[blocked_flag] = "Oui" )</t>
  </si>
  <si>
    <t>Nombre de livrables marqués comme bloqués.</t>
  </si>
  <si>
    <t>Livrables</t>
  </si>
  <si>
    <t>Demandes de changement en attente</t>
  </si>
  <si>
    <t>MEASURE 'Demandes de changement en attente' =
// Compte les demandes dont le statut indique une attente de décision. 
			 CALCULATE( DISTINCTCOUNT(FactChangements[change_request_id]), FactChangements[status] = "En attente" )</t>
  </si>
  <si>
    <t>Nombre de demandes de changement en attente de décision.</t>
  </si>
  <si>
    <t>Gestion des changements</t>
  </si>
  <si>
    <t>Impact changements en attente (€)</t>
  </si>
  <si>
    <t>MEASURE 'Impact changements en attente (€)' =
// Additionne l'impact financier estimé des demandes en attente. 
			CALCULATE( SUM(FactChangements[estimated_cost_impact_eur]), FactChangements[status] = "En attente" )</t>
  </si>
  <si>
    <t>Somme de l'impact financier estimé des demandes de changement en attente.</t>
  </si>
  <si>
    <t>Contrôle PV vs BAC × prévu</t>
  </si>
  <si>
    <t>MEASURE 'Contrôle PV vs BAC × prévu' =
[PV - Valeur planifiée] - [BAC - Budget initial] * [Avancement prévu portefeuille (%)]
			// A6. Contrôle de cohérence : PV (planned_value_eur) doit être proche de BAC × avancement prévu.
			//     Un écart important signale deux bases de budget différentes (budget initial et budget à terminaison).</t>
  </si>
  <si>
    <t>Écart de cohérence entre PV et BAC × avancement prévu ; un écart important peut signaler des bases budgétaires différentes.</t>
  </si>
  <si>
    <t>ETC - Reste à faire estimé</t>
  </si>
  <si>
    <t>MEASURE 'ETC - Reste à faire estimé' =
[EAC - Coût estimé à terminaison] - [Coût réel cumulé]</t>
  </si>
  <si>
    <t>Coût estimé restant à engager jusqu'à la terminaison (EAC moins coût réel).</t>
  </si>
  <si>
    <t>Dépassement prévisionnel (%)</t>
  </si>
  <si>
    <t>MEASURE 'Dépassement prévisionnel (%)' =
DIVIDE([EAC - Coût estimé à terminaison] - [BAC - Budget initial], [BAC - Budget initial])</t>
  </si>
  <si>
    <t>Dépassement ou sous-consommation budgétaire prévisionnelle par rapport au budget initial.</t>
  </si>
  <si>
    <t>Budget non consommé (€)</t>
  </si>
  <si>
    <t>MEASURE 'Budget non consommé (€)' =
[BAC - Budget initial] - [Coût réel cumulé]</t>
  </si>
  <si>
    <t>Budget initial restant après déduction du coût réel cumulé.</t>
  </si>
  <si>
    <t>Consommation budget (%)</t>
  </si>
  <si>
    <t>MEASURE 'Consommation budget (%)' =
DIVIDE([Coût réel cumulé], [BAC - Budget initial])</t>
  </si>
  <si>
    <t>Part du budget initial déjà consommée selon le coût réel cumulé.</t>
  </si>
  <si>
    <t>Coûts engagés (€)</t>
  </si>
  <si>
    <t>MEASURE 'Coûts engagés (€)' =
SUM(FactCouts[amount_eur])</t>
  </si>
  <si>
    <t>Somme des coûts saisis dans la table des coûts.</t>
  </si>
  <si>
    <t>Écart coût réel cumulé vs coûts saisis (€)</t>
  </si>
  <si>
    <t>MEASURE 'Écart coût réel cumulé vs coûts saisis (€)' =
[Coût réel cumulé] - [Coûts engagés (€)]</t>
  </si>
  <si>
    <t>Différence entre le coût réel issu des snapshots et les coûts saisis dans la table des coûts.</t>
  </si>
  <si>
    <t>Retard moyen des tâches (jours)</t>
  </si>
  <si>
    <t>MEASURE 'Retard moyen des tâches (jours)' =
AVERAGEX(
			    FILTER(FactTaches, FactTaches[delay_days] &gt; 0 &amp;&amp; ISBLANK(FactTaches[actual_end_date])),
			    FactTaches[delay_days]
			)</t>
  </si>
  <si>
    <t>Retard moyen en jours des tâches en retard qui ne sont pas terminées.</t>
  </si>
  <si>
    <t>Nombre (jours)</t>
  </si>
  <si>
    <t>Jalons échus</t>
  </si>
  <si>
    <t>MEASURE 'Jalons échus' =
VAR d = [Date dernier reporting]
			RETURN COUNTROWS(FILTER(FactJalons, FactJalons[planned_date] &lt;= d))</t>
  </si>
  <si>
    <t>Nombre de jalons dont la date planifiée est antérieure ou égale à la date du dernier reporting.</t>
  </si>
  <si>
    <t>Jalons respectés</t>
  </si>
  <si>
    <t>MEASURE 'Jalons respectés' =
VAR d = [Date dernier reporting]
			RETURN
			COUNTROWS(
			    FILTER(
			        FactJalons,
			        FactJalons[planned_date] &lt;= d
			            &amp;&amp; NOT ISBLANK(FactJalons[actual_date])
			            &amp;&amp; FactJalons[actual_date] &lt;= FactJalons[planned_date]
			    )
			)</t>
  </si>
  <si>
    <t>Nombre de jalons échus réalisés à la date prévue ou avant.</t>
  </si>
  <si>
    <t>Jalons respectés (%)</t>
  </si>
  <si>
    <t>MEASURE 'Jalons respectés (%)' =
DIVIDE([Jalons respectés], [Jalons échus])</t>
  </si>
  <si>
    <t>Part des jalons respectés parmi les jalons échus.</t>
  </si>
  <si>
    <t>Prochain jalon</t>
  </si>
  <si>
    <t>MEASURE 'Prochain jalon' =
VAR d = [Date dernier reporting]
			RETURN
			MINX(
			    FILTER(FactJalons, FactJalons[planned_date] &gt;= d &amp;&amp; ISBLANK(FactJalons[actual_date])),
			    FactJalons[planned_date]
			)</t>
  </si>
  <si>
    <t>Parcourt les lignes filtrées et renvoie la date ou valeur minimale.</t>
  </si>
  <si>
    <t>Date du prochain jalon planifié à partir de la date du dernier reporting, sans date de réalisation.</t>
  </si>
  <si>
    <t>Date/heure</t>
  </si>
  <si>
    <t>Jours avant le prochain jalon</t>
  </si>
  <si>
    <t>MEASURE 'Jours avant le prochain jalon' =
DATEDIFF([Date dernier reporting], [Prochain jalon], DAY)</t>
  </si>
  <si>
    <t>Calcule un intervalle entre deux dates dans l'unité spécifiée.</t>
  </si>
  <si>
    <t>Nombre de jours entre le dernier reporting et le prochain jalon.</t>
  </si>
  <si>
    <t>Écart de charge (%)</t>
  </si>
  <si>
    <t>MEASURE 'Écart de charge (%)' =
DIVIDE([Charge réelle (h)] - [Charge prévue (h)], [Charge prévue (h)])</t>
  </si>
  <si>
    <t>Écart relatif entre charge réelle et charge prévue.</t>
  </si>
  <si>
    <t>Taux de surcharge (%)</t>
  </si>
  <si>
    <t>MEASURE 'Taux de surcharge (%)' =
DIVIDE([Charge réelle (h)] - [Capacité disponible (h)], [Capacité disponible (h)])</t>
  </si>
  <si>
    <t>Écart relatif entre charge réelle et capacité disponible ; positif en cas de dépassement de capacité.</t>
  </si>
  <si>
    <t>Actions en retard (%)</t>
  </si>
  <si>
    <t>MEASURE 'Actions en retard (%)' =
DIVIDE(
			    [Actions en retard],
			    CALCULATE(
			        DISTINCTCOUNT(FactActions[action_id]),
			        ISBLANK(FactActions[closed_date])
			    )
			)</t>
  </si>
  <si>
    <t>Part des actions en retard parmi les actions non clôturées.</t>
  </si>
  <si>
    <t>Risques avec action en retard</t>
  </si>
  <si>
    <t>MEASURE 'Risques avec action en retard' =
VAR d = [Date dernier reporting]
			RETURN
			CALCULATE(
			    DISTINCTCOUNT(FactActions[related_risk_id]),
			    FactActions[due_date] &lt; d,
			    ISBLANK(FactActions[closed_date])
			)
			// FactRisques n'a pas d'échéance : on s'appuie sur les actions liées</t>
  </si>
  <si>
    <t>Nombre de risques associés à au moins une action échue non clôturée (selon le comptage des identifiants liés).</t>
  </si>
  <si>
    <t>Incidents résolus</t>
  </si>
  <si>
    <t>MEASURE 'Incidents résolus' =
CALCULATE(DISTINCTCOUNT(FactIncidents[incident_id]), NOT ISBLANK(FactIncidents[resolved_date]))</t>
  </si>
  <si>
    <t>Nombre d'incidents ayant une date de résolution.</t>
  </si>
  <si>
    <t>Taux de résolution des incidents</t>
  </si>
  <si>
    <t>MEASURE 'Taux de résolution des incidents' =
DIVIDE([Incidents résolus], DISTINCTCOUNT(FactIncidents[incident_id]))</t>
  </si>
  <si>
    <t>Part des incidents résolus parmi les incidents distincts visibles.</t>
  </si>
  <si>
    <t>Délai moyen de résolution (h)</t>
  </si>
  <si>
    <t>MEASURE 'Délai moyen de résolution (h)' =
AVERAGE(FactIncidents[resolution_hours])</t>
  </si>
  <si>
    <t>Durée moyenne de résolution des incidents en heures.</t>
  </si>
  <si>
    <t>Taux accepté après reprise</t>
  </si>
  <si>
    <t>MEASURE 'Taux accepté après reprise' =
DIVIDE(
			    CALCULATE(COUNTROWS(FactControlesQualite), FactControlesQualite[accepted_after_rework_flag] = "Oui"),
			    COUNTROWS(FactControlesQualite)
			)</t>
  </si>
  <si>
    <t>Part des contrôles qualité avec acceptation après reprise.</t>
  </si>
  <si>
    <t>Défauts critiques détectés</t>
  </si>
  <si>
    <t>MEASURE 'Défauts critiques détectés' =
CALCULATE(COUNTROWS(FactControlesQualite), FactControlesQualite[critical_defect_flag] = "Oui")</t>
  </si>
  <si>
    <t>Nombre de contrôles/lignes où un défaut critique est signalé.</t>
  </si>
  <si>
    <t>Non-conformités ouvertes</t>
  </si>
  <si>
    <t>MEASURE 'Non-conformités ouvertes' =
CALCULATE(DISTINCTCOUNT(FactNonConformites[nonconformity_id]), ISBLANK(FactNonConformites[closed_date]))</t>
  </si>
  <si>
    <t>Nombre de non-conformités sans date de clôture.</t>
  </si>
  <si>
    <t>Coût de non-qualité (€)</t>
  </si>
  <si>
    <t>MEASURE 'Coût de non-qualité (€)' =
SUM(FactNonConformites[rework_cost_eur])</t>
  </si>
  <si>
    <t>Coût total de reprise associé aux non-conformités.</t>
  </si>
  <si>
    <t>Coût de non-qualité (% du budget)</t>
  </si>
  <si>
    <t>MEASURE 'Coût de non-qualité (% du budget)' =
DIVIDE([Coût de non-qualité (€)], [BAC - Budget initial])</t>
  </si>
  <si>
    <t>Coût de non-qualité rapporté au budget initial.</t>
  </si>
  <si>
    <t>Nombre de livrables</t>
  </si>
  <si>
    <t>MEASURE 'Nombre de livrables' =
DISTINCTCOUNT(FactLivrables[deliverable_id])</t>
  </si>
  <si>
    <t>Nombre de livrables distincts.</t>
  </si>
  <si>
    <t>Livrables livrés</t>
  </si>
  <si>
    <t>MEASURE 'Livrables livrés' =
CALCULATE(DISTINCTCOUNT(FactLivrables[deliverable_id]), NOT ISBLANK(FactLivrables[actual_delivery_date]))</t>
  </si>
  <si>
    <t>Nombre de livrables avec une date réelle de livraison.</t>
  </si>
  <si>
    <t>Livrables livrés (%)</t>
  </si>
  <si>
    <t>MEASURE 'Livrables livrés (%)' =
DIVIDE([Livrables livrés], [Nombre de livrables])</t>
  </si>
  <si>
    <t>Part des livrables livrés parmi les livrables distincts.</t>
  </si>
  <si>
    <t>Livrables en retard</t>
  </si>
  <si>
    <t>MEASURE 'Livrables en retard' =
VAR d = [Date dernier reporting]
			RETURN
			CALCULATE(
			    DISTINCTCOUNT(FactLivrables[deliverable_id]),
			    ISBLANK(FactLivrables[actual_delivery_date]),
			    FactLivrables[planned_delivery_date] &lt; d
			)</t>
  </si>
  <si>
    <t>Nombre de livrables non livrés à la date du dernier reporting alors que leur date prévue est dépassée.</t>
  </si>
  <si>
    <t>Retard moyen de livraison (jours)</t>
  </si>
  <si>
    <t>MEASURE 'Retard moyen de livraison (jours)' =
AVERAGEX(
			    FILTER(
			        FactLivrables,
			        NOT ISBLANK(FactLivrables[actual_delivery_date])
			            &amp;&amp; FactLivrables[actual_delivery_date] &gt; FactLivrables[planned_delivery_date]
			    ),
			    DATEDIFF(FactLivrables[planned_delivery_date], FactLivrables[actual_delivery_date], DAY)
			)</t>
  </si>
  <si>
    <t>Retard moyen en jours des livrables livrés après la date prévue.</t>
  </si>
  <si>
    <t>Livrables acceptés (%)</t>
  </si>
  <si>
    <t>MEASURE 'Livrables acceptés (%)' =
DIVIDE(
			    CALCULATE(DISTINCTCOUNT(FactLivrables[deliverable_id]), FactLivrables[accepted_flag] = TRUE()),
			    [Livrables livrés]
			)</t>
  </si>
  <si>
    <t>Part des livrables livrés marqués comme acceptés.</t>
  </si>
  <si>
    <t>Impact délai changements en attente (jours)</t>
  </si>
  <si>
    <t>MEASURE 'Impact délai changements en attente (jours)' =
CALCULATE(SUM(FactChangements[estimated_delay_days]), FactChangements[status] = "En attente")</t>
  </si>
  <si>
    <t>Somme de l'impact en jours des demandes de changement en attente.</t>
  </si>
  <si>
    <t>Décisions en attente</t>
  </si>
  <si>
    <t>MEASURE 'Décisions en attente' =
CALCULATE(DISTINCTCOUNT(FactDecisionProjet[decision_id]), FactDecisionProjet[status] = "En attente")</t>
  </si>
  <si>
    <t>Nombre de décisions de projet dont le statut est « En attente ».</t>
  </si>
  <si>
    <t>Décisions</t>
  </si>
  <si>
    <t>Délai moyen de décision (jours)</t>
  </si>
  <si>
    <t>MEASURE 'Délai moyen de décision (jours)' =
AVERAGEX(
			    FILTER(FactDecisionProjet, NOT ISBLANK(FactDecisionProjet[decision_date])),
			    DATEDIFF(FactDecisionProjet[request_date], FactDecisionProjet[decision_date], DAY)
			)</t>
  </si>
  <si>
    <t>Nombre moyen de jours entre demande et décision, pour les décisions disposant d'une date de décision.</t>
  </si>
  <si>
    <t>Statut global</t>
  </si>
  <si>
    <t>MEASURE 'Statut global' =
VAR spi = [SPI - Performance des délais]
			VAR cpi = [CPI - Performance des coûts]
			VAR crit = [Risques critiques ouverts]
			RETURN
			SWITCH(
			    TRUE(),
			    spi &lt; 0.85 || cpi &lt; 0.85 || crit &gt;= 5, "Rouge",
			    spi &lt; 0.95 || cpi &lt; 0.95 || crit &gt;= 3, "Ambre",
			    "Vert"
			)
			// ---------- Synthèse : statut global calculé ----------// Idéalement, mets les seuils dans une table de paramètres au lieu de les écrire en dur.</t>
  </si>
  <si>
    <t>Applique des conditions successives pour renvoyer le statut correspondant.</t>
  </si>
  <si>
    <t>Statut synthétique Rouge/Ambre/Vert basé sur les indices SPI/CPI et le nombre de risques critiques ouverts.</t>
  </si>
  <si>
    <t>Texte</t>
  </si>
  <si>
    <t>Synthèse &amp; statut</t>
  </si>
  <si>
    <t>Couleur statut global</t>
  </si>
  <si>
    <t>MEASURE 'Couleur statut global' =
SWITCH([Statut global], "Rouge", "#D0453D", "Ambre", "#E0A93B", "#2E9F6B")</t>
  </si>
  <si>
    <t>Associe le résultat d'une mesure à une valeur de sortie (libellé ou couleur).</t>
  </si>
  <si>
    <t>Code hexadécimal associé au statut global pour la mise en forme conditionnelle des visuels.</t>
  </si>
  <si>
    <t>Catalogue des mesures Power BI</t>
  </si>
  <si>
    <t>Nombre de mesures extraites</t>
  </si>
  <si>
    <t>Table de stockage déclarée</t>
  </si>
  <si>
    <t>Répartition par catégorie</t>
  </si>
  <si>
    <t>Point de vigilance</t>
  </si>
  <si>
    <t>Détail</t>
  </si>
  <si>
    <t>Source</t>
  </si>
  <si>
    <t>Mesures extraites du fichier texte fourni (définition de MesuresTable).</t>
  </si>
  <si>
    <t>Descriptions</t>
  </si>
  <si>
    <t>Les descriptions du code et métier sont rédigées à partir des expressions DAX et des commentaires disponibles ; elles ne sont pas des descriptions natives du modèle Power BI.</t>
  </si>
  <si>
    <t>Les formats déclarés dans le fichier sont repris. Lorsqu'aucun format explicite n'était présent, le format est estimé à partir du nom et de l'expression : vérifier dans Power BI avant publication.</t>
  </si>
  <si>
    <t>Toutes les mesures du fichier sont définies dans MesuresTable. Cela désigne la table d'accueil de la mesure, pas nécessairement les tables sources utilisées dans le calcul.</t>
  </si>
  <si>
    <t>Contrôle recommandé</t>
  </si>
  <si>
    <t>Vérifier notamment les formats de pourcentage, les unités (€ / jours / heures) et la cohérence des indicateurs avant diffusion.</t>
  </si>
  <si>
    <t>La colonne Expression DAX inclut désormais la déclaration MEASURE 'Nom de la mesure' = suivie de l'expression originale. Les commentaires DAX // et -- ont été conservés à partir du fichier source.</t>
  </si>
  <si>
    <t>Étiquettes de lignes</t>
  </si>
  <si>
    <t>(vide)</t>
  </si>
  <si>
    <t>Total général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</si>
</sst>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ptos Display"/>
      <family val="2"/>
    </font>
    <font>
      <b/>
      <sz val="11"/>
      <color rgb="FF17365D"/>
      <name val="Calibri"/>
      <family val="2"/>
    </font>
    <font>
      <sz val="9"/>
      <color rgb="FF1F1F1F"/>
      <name val="Consolas"/>
      <family val="3"/>
    </font>
    <font>
      <sz val="10"/>
      <name val="Aptos"/>
      <family val="2"/>
    </font>
    <font>
      <b/>
      <sz val="16"/>
      <color rgb="FF17365D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5B9BD5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4" fillId="0" borderId="2" xfId="0" applyFont="1" applyBorder="1" applyAlignment="1">
      <alignment vertical="top" wrapText="1"/>
    </xf>
    <xf numFmtId="0" fontId="5" fillId="0" borderId="0" xfId="0" applyFont="1"/>
    <xf numFmtId="0" fontId="6" fillId="2" borderId="0" xfId="0" applyFont="1" applyFill="1"/>
    <xf numFmtId="0" fontId="1" fillId="2" borderId="0" xfId="0" applyFont="1" applyFill="1"/>
    <xf numFmtId="0" fontId="0" fillId="0" borderId="2" xfId="0" applyBorder="1"/>
    <xf numFmtId="0" fontId="1" fillId="2" borderId="0" xfId="0" applyFont="1" applyFill="1" applyAlignment="1">
      <alignment vertical="center" wrapText="1"/>
    </xf>
    <xf numFmtId="0" fontId="0" fillId="0" borderId="2" xfId="0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pivotCacheDefinition" Target="pivotCache/pivotCacheDefinition1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nuel RAMANITRA" refreshedDate="46318.709474074072" backgroundQuery="1" createdVersion="8" refreshedVersion="8" minRefreshableVersion="3" recordCount="0" supportSubquery="1" supportAdvancedDrill="1" xr:uid="{3656AD96-200A-4E32-9B1F-60C9F7431C26}">
  <cacheSource type="external" connectionId="1"/>
  <cacheFields count="1">
    <cacheField name="[Plage].[Catégorie de la mesure].[Catégorie de la mesure]" caption="Catégorie de la mesure" numFmtId="0" level="1">
      <sharedItems containsBlank="1" count="13">
        <m/>
        <s v="Budget &amp; coûts"/>
        <s v="Décisions"/>
        <s v="Délais &amp; avancement"/>
        <s v="Gestion des changements"/>
        <s v="Incidents"/>
        <s v="Livrables"/>
        <s v="Pilotage général"/>
        <s v="Qualité"/>
        <s v="Reporting"/>
        <s v="Risques"/>
        <s v="Synthèse &amp; statut"/>
        <s v="Tâches &amp; ressources"/>
      </sharedItems>
    </cacheField>
  </cacheFields>
  <cacheHierarchies count="3">
    <cacheHierarchy uniqueName="[Plage].[Catégorie de la mesure]" caption="Catégorie de la mesure" attribute="1" defaultMemberUniqueName="[Plage].[Catégorie de la mesure].[All]" allUniqueName="[Plage].[Catégorie de la mesure].[All]" dimensionUniqueName="[Plage]" displayFolder="" count="2" memberValueDatatype="130" unbalanced="0">
      <fieldsUsage count="2">
        <fieldUsage x="-1"/>
        <fieldUsage x="0"/>
      </fieldsUsage>
    </cacheHierarchy>
    <cacheHierarchy uniqueName="[Measures].[__XL_Count Plage]" caption="__XL_Count Plage" measure="1" displayFolder="" measureGroup="Pla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Plage" uniqueName="[Plage]" caption="Plage"/>
  </dimensions>
  <measureGroups count="1">
    <measureGroup name="Plage" caption="Pla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EE36EE-C4A1-4496-8D00-129CDD78EF9C}" name="Tableau croisé dynamique2" cacheId="1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A17" firstHeaderRow="1" firstDataRow="1" firstDataCol="1"/>
  <pivotFields count="1">
    <pivotField axis="axisRow" allDrilled="1" showAll="0" dataSourceSort="1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pivotHierarchies count="3"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atalogue des mesures!$G:$G">
        <x15:activeTabTopLevelEntity name="[Plage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A4B57-347C-49BA-86B5-E94A46357E4C}">
  <dimension ref="A3:A17"/>
  <sheetViews>
    <sheetView topLeftCell="M1" workbookViewId="0">
      <selection activeCell="A3" sqref="A3:N16"/>
    </sheetView>
  </sheetViews>
  <sheetFormatPr baseColWidth="10" defaultRowHeight="14.5" x14ac:dyDescent="0.35"/>
  <cols>
    <col min="1" max="1" width="22.26953125" bestFit="1" customWidth="1"/>
  </cols>
  <sheetData>
    <row r="3" spans="1:1" x14ac:dyDescent="0.35">
      <c r="A3" s="13" t="s">
        <v>270</v>
      </c>
    </row>
    <row r="4" spans="1:1" x14ac:dyDescent="0.35">
      <c r="A4" s="14" t="s">
        <v>271</v>
      </c>
    </row>
    <row r="5" spans="1:1" x14ac:dyDescent="0.35">
      <c r="A5" s="14" t="s">
        <v>41</v>
      </c>
    </row>
    <row r="6" spans="1:1" x14ac:dyDescent="0.35">
      <c r="A6" s="14" t="s">
        <v>241</v>
      </c>
    </row>
    <row r="7" spans="1:1" x14ac:dyDescent="0.35">
      <c r="A7" s="14" t="s">
        <v>19</v>
      </c>
    </row>
    <row r="8" spans="1:1" x14ac:dyDescent="0.35">
      <c r="A8" s="14" t="s">
        <v>134</v>
      </c>
    </row>
    <row r="9" spans="1:1" x14ac:dyDescent="0.35">
      <c r="A9" s="14" t="s">
        <v>123</v>
      </c>
    </row>
    <row r="10" spans="1:1" x14ac:dyDescent="0.35">
      <c r="A10" s="14" t="s">
        <v>130</v>
      </c>
    </row>
    <row r="11" spans="1:1" x14ac:dyDescent="0.35">
      <c r="A11" s="14" t="s">
        <v>119</v>
      </c>
    </row>
    <row r="12" spans="1:1" x14ac:dyDescent="0.35">
      <c r="A12" s="14" t="s">
        <v>115</v>
      </c>
    </row>
    <row r="13" spans="1:1" x14ac:dyDescent="0.35">
      <c r="A13" s="14" t="s">
        <v>13</v>
      </c>
    </row>
    <row r="14" spans="1:1" x14ac:dyDescent="0.35">
      <c r="A14" s="14" t="s">
        <v>107</v>
      </c>
    </row>
    <row r="15" spans="1:1" x14ac:dyDescent="0.35">
      <c r="A15" s="14" t="s">
        <v>250</v>
      </c>
    </row>
    <row r="16" spans="1:1" x14ac:dyDescent="0.35">
      <c r="A16" s="14" t="s">
        <v>76</v>
      </c>
    </row>
    <row r="17" spans="1:1" x14ac:dyDescent="0.35">
      <c r="A17" s="14" t="s">
        <v>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1"/>
  <sheetViews>
    <sheetView showGridLines="0" topLeftCell="D1" workbookViewId="0">
      <pane ySplit="1" topLeftCell="A33" activePane="bottomLeft" state="frozen"/>
      <selection pane="bottomLeft" activeCell="I170" sqref="I170"/>
    </sheetView>
  </sheetViews>
  <sheetFormatPr baseColWidth="10" defaultColWidth="8.7265625" defaultRowHeight="14.5" x14ac:dyDescent="0.35"/>
  <cols>
    <col min="1" max="1" width="34" customWidth="1"/>
    <col min="2" max="2" width="66" customWidth="1"/>
    <col min="3" max="3" width="58" customWidth="1"/>
    <col min="4" max="4" width="64" customWidth="1"/>
    <col min="5" max="5" width="34" customWidth="1"/>
    <col min="6" max="6" width="22" customWidth="1"/>
    <col min="7" max="7" width="28" customWidth="1"/>
  </cols>
  <sheetData>
    <row r="1" spans="1:7" ht="1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90" customHeight="1" x14ac:dyDescent="0.35">
      <c r="A2" s="2" t="s">
        <v>7</v>
      </c>
      <c r="B2" s="3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</row>
    <row r="3" spans="1:7" ht="90" customHeight="1" x14ac:dyDescent="0.35">
      <c r="A3" s="2" t="s">
        <v>14</v>
      </c>
      <c r="B3" s="3" t="s">
        <v>15</v>
      </c>
      <c r="C3" s="4" t="s">
        <v>16</v>
      </c>
      <c r="D3" s="4" t="s">
        <v>17</v>
      </c>
      <c r="E3" s="4" t="s">
        <v>18</v>
      </c>
      <c r="F3" s="4" t="s">
        <v>12</v>
      </c>
      <c r="G3" s="4" t="s">
        <v>19</v>
      </c>
    </row>
    <row r="4" spans="1:7" ht="90" customHeight="1" x14ac:dyDescent="0.35">
      <c r="A4" s="2" t="s">
        <v>20</v>
      </c>
      <c r="B4" s="3" t="s">
        <v>21</v>
      </c>
      <c r="C4" s="4" t="s">
        <v>16</v>
      </c>
      <c r="D4" s="4" t="s">
        <v>22</v>
      </c>
      <c r="E4" s="4" t="s">
        <v>23</v>
      </c>
      <c r="F4" s="4" t="s">
        <v>12</v>
      </c>
      <c r="G4" s="4" t="s">
        <v>19</v>
      </c>
    </row>
    <row r="5" spans="1:7" ht="90" customHeight="1" x14ac:dyDescent="0.35">
      <c r="A5" s="2" t="s">
        <v>24</v>
      </c>
      <c r="B5" s="3" t="s">
        <v>25</v>
      </c>
      <c r="C5" s="4" t="s">
        <v>26</v>
      </c>
      <c r="D5" s="4" t="s">
        <v>27</v>
      </c>
      <c r="E5" s="4" t="s">
        <v>28</v>
      </c>
      <c r="F5" s="4" t="s">
        <v>12</v>
      </c>
      <c r="G5" s="4" t="s">
        <v>19</v>
      </c>
    </row>
    <row r="6" spans="1:7" ht="90" customHeight="1" x14ac:dyDescent="0.35">
      <c r="A6" s="2" t="s">
        <v>29</v>
      </c>
      <c r="B6" s="3" t="s">
        <v>30</v>
      </c>
      <c r="C6" s="4" t="s">
        <v>26</v>
      </c>
      <c r="D6" s="4" t="s">
        <v>31</v>
      </c>
      <c r="E6" s="4" t="s">
        <v>28</v>
      </c>
      <c r="F6" s="4" t="s">
        <v>12</v>
      </c>
      <c r="G6" s="4" t="s">
        <v>19</v>
      </c>
    </row>
    <row r="7" spans="1:7" ht="90" customHeight="1" x14ac:dyDescent="0.35">
      <c r="A7" s="2" t="s">
        <v>32</v>
      </c>
      <c r="B7" s="3" t="s">
        <v>33</v>
      </c>
      <c r="C7" s="4" t="s">
        <v>34</v>
      </c>
      <c r="D7" s="4" t="s">
        <v>35</v>
      </c>
      <c r="E7" s="4" t="s">
        <v>36</v>
      </c>
      <c r="F7" s="4" t="s">
        <v>12</v>
      </c>
      <c r="G7" s="4" t="s">
        <v>19</v>
      </c>
    </row>
    <row r="8" spans="1:7" ht="90" customHeight="1" x14ac:dyDescent="0.35">
      <c r="A8" s="2" t="s">
        <v>37</v>
      </c>
      <c r="B8" s="3" t="s">
        <v>38</v>
      </c>
      <c r="C8" s="4" t="s">
        <v>39</v>
      </c>
      <c r="D8" s="4" t="s">
        <v>40</v>
      </c>
      <c r="E8" s="4" t="s">
        <v>23</v>
      </c>
      <c r="F8" s="4" t="s">
        <v>12</v>
      </c>
      <c r="G8" s="4" t="s">
        <v>41</v>
      </c>
    </row>
    <row r="9" spans="1:7" ht="90" customHeight="1" x14ac:dyDescent="0.35">
      <c r="A9" s="2" t="s">
        <v>42</v>
      </c>
      <c r="B9" s="3" t="s">
        <v>43</v>
      </c>
      <c r="C9" s="4" t="s">
        <v>26</v>
      </c>
      <c r="D9" s="4" t="s">
        <v>44</v>
      </c>
      <c r="E9" s="4" t="s">
        <v>45</v>
      </c>
      <c r="F9" s="4" t="s">
        <v>12</v>
      </c>
      <c r="G9" s="4" t="s">
        <v>41</v>
      </c>
    </row>
    <row r="10" spans="1:7" ht="90" customHeight="1" x14ac:dyDescent="0.35">
      <c r="A10" s="2" t="s">
        <v>46</v>
      </c>
      <c r="B10" s="3" t="s">
        <v>47</v>
      </c>
      <c r="C10" s="4" t="s">
        <v>26</v>
      </c>
      <c r="D10" s="4" t="s">
        <v>48</v>
      </c>
      <c r="E10" s="4" t="s">
        <v>45</v>
      </c>
      <c r="F10" s="4" t="s">
        <v>12</v>
      </c>
      <c r="G10" s="4" t="s">
        <v>41</v>
      </c>
    </row>
    <row r="11" spans="1:7" ht="90" customHeight="1" x14ac:dyDescent="0.35">
      <c r="A11" s="2" t="s">
        <v>49</v>
      </c>
      <c r="B11" s="3" t="s">
        <v>50</v>
      </c>
      <c r="C11" s="4" t="s">
        <v>34</v>
      </c>
      <c r="D11" s="4" t="s">
        <v>51</v>
      </c>
      <c r="E11" s="4" t="s">
        <v>45</v>
      </c>
      <c r="F11" s="4" t="s">
        <v>12</v>
      </c>
      <c r="G11" s="4" t="s">
        <v>41</v>
      </c>
    </row>
    <row r="12" spans="1:7" ht="90" customHeight="1" x14ac:dyDescent="0.35">
      <c r="A12" s="2" t="s">
        <v>52</v>
      </c>
      <c r="B12" s="3" t="s">
        <v>53</v>
      </c>
      <c r="C12" s="4" t="s">
        <v>54</v>
      </c>
      <c r="D12" s="4" t="s">
        <v>55</v>
      </c>
      <c r="E12" s="4" t="s">
        <v>23</v>
      </c>
      <c r="F12" s="4" t="s">
        <v>12</v>
      </c>
      <c r="G12" s="4" t="s">
        <v>41</v>
      </c>
    </row>
    <row r="13" spans="1:7" ht="90" customHeight="1" x14ac:dyDescent="0.35">
      <c r="A13" s="2" t="s">
        <v>56</v>
      </c>
      <c r="B13" s="3" t="s">
        <v>57</v>
      </c>
      <c r="C13" s="4" t="s">
        <v>54</v>
      </c>
      <c r="D13" s="4" t="s">
        <v>58</v>
      </c>
      <c r="E13" s="4" t="s">
        <v>59</v>
      </c>
      <c r="F13" s="4" t="s">
        <v>12</v>
      </c>
      <c r="G13" s="4" t="s">
        <v>19</v>
      </c>
    </row>
    <row r="14" spans="1:7" ht="90" customHeight="1" x14ac:dyDescent="0.35">
      <c r="A14" s="2" t="s">
        <v>60</v>
      </c>
      <c r="B14" s="3" t="s">
        <v>61</v>
      </c>
      <c r="C14" s="4" t="s">
        <v>34</v>
      </c>
      <c r="D14" s="4" t="s">
        <v>62</v>
      </c>
      <c r="E14" s="4" t="s">
        <v>45</v>
      </c>
      <c r="F14" s="4" t="s">
        <v>12</v>
      </c>
      <c r="G14" s="4" t="s">
        <v>41</v>
      </c>
    </row>
    <row r="15" spans="1:7" ht="90" customHeight="1" x14ac:dyDescent="0.35">
      <c r="A15" s="2" t="s">
        <v>63</v>
      </c>
      <c r="B15" s="3" t="s">
        <v>64</v>
      </c>
      <c r="C15" s="4" t="s">
        <v>34</v>
      </c>
      <c r="D15" s="4" t="s">
        <v>65</v>
      </c>
      <c r="E15" s="4" t="s">
        <v>45</v>
      </c>
      <c r="F15" s="4" t="s">
        <v>12</v>
      </c>
      <c r="G15" s="4" t="s">
        <v>19</v>
      </c>
    </row>
    <row r="16" spans="1:7" ht="90" customHeight="1" x14ac:dyDescent="0.35">
      <c r="A16" s="2" t="s">
        <v>66</v>
      </c>
      <c r="B16" s="3" t="s">
        <v>67</v>
      </c>
      <c r="C16" s="4" t="s">
        <v>54</v>
      </c>
      <c r="D16" s="4" t="s">
        <v>68</v>
      </c>
      <c r="E16" s="4" t="s">
        <v>45</v>
      </c>
      <c r="F16" s="4" t="s">
        <v>12</v>
      </c>
      <c r="G16" s="4" t="s">
        <v>41</v>
      </c>
    </row>
    <row r="17" spans="1:7" ht="90" customHeight="1" x14ac:dyDescent="0.35">
      <c r="A17" s="2" t="s">
        <v>69</v>
      </c>
      <c r="B17" s="3" t="s">
        <v>70</v>
      </c>
      <c r="C17" s="4" t="s">
        <v>34</v>
      </c>
      <c r="D17" s="4" t="s">
        <v>71</v>
      </c>
      <c r="E17" s="4" t="s">
        <v>45</v>
      </c>
      <c r="F17" s="4" t="s">
        <v>12</v>
      </c>
      <c r="G17" s="4" t="s">
        <v>41</v>
      </c>
    </row>
    <row r="18" spans="1:7" ht="90" customHeight="1" x14ac:dyDescent="0.35">
      <c r="A18" s="2" t="s">
        <v>72</v>
      </c>
      <c r="B18" s="3" t="s">
        <v>73</v>
      </c>
      <c r="C18" s="4" t="s">
        <v>74</v>
      </c>
      <c r="D18" s="4" t="s">
        <v>75</v>
      </c>
      <c r="E18" s="4" t="s">
        <v>23</v>
      </c>
      <c r="F18" s="4" t="s">
        <v>12</v>
      </c>
      <c r="G18" s="4" t="s">
        <v>76</v>
      </c>
    </row>
    <row r="19" spans="1:7" ht="90" customHeight="1" x14ac:dyDescent="0.35">
      <c r="A19" s="2" t="s">
        <v>77</v>
      </c>
      <c r="B19" s="3" t="s">
        <v>78</v>
      </c>
      <c r="C19" s="4" t="s">
        <v>74</v>
      </c>
      <c r="D19" s="4" t="s">
        <v>79</v>
      </c>
      <c r="E19" s="4" t="s">
        <v>23</v>
      </c>
      <c r="F19" s="4" t="s">
        <v>12</v>
      </c>
      <c r="G19" s="4" t="s">
        <v>76</v>
      </c>
    </row>
    <row r="20" spans="1:7" ht="90" customHeight="1" x14ac:dyDescent="0.35">
      <c r="A20" s="2" t="s">
        <v>80</v>
      </c>
      <c r="B20" s="3" t="s">
        <v>81</v>
      </c>
      <c r="C20" s="4" t="s">
        <v>74</v>
      </c>
      <c r="D20" s="4" t="s">
        <v>82</v>
      </c>
      <c r="E20" s="4" t="s">
        <v>23</v>
      </c>
      <c r="F20" s="4" t="s">
        <v>12</v>
      </c>
      <c r="G20" s="4" t="s">
        <v>19</v>
      </c>
    </row>
    <row r="21" spans="1:7" ht="90" customHeight="1" x14ac:dyDescent="0.35">
      <c r="A21" s="2" t="s">
        <v>83</v>
      </c>
      <c r="B21" s="3" t="s">
        <v>84</v>
      </c>
      <c r="C21" s="4" t="s">
        <v>74</v>
      </c>
      <c r="D21" s="4" t="s">
        <v>85</v>
      </c>
      <c r="E21" s="4" t="s">
        <v>23</v>
      </c>
      <c r="F21" s="4" t="s">
        <v>12</v>
      </c>
      <c r="G21" s="4" t="s">
        <v>19</v>
      </c>
    </row>
    <row r="22" spans="1:7" ht="90" customHeight="1" x14ac:dyDescent="0.35">
      <c r="A22" s="2" t="s">
        <v>86</v>
      </c>
      <c r="B22" s="3" t="s">
        <v>87</v>
      </c>
      <c r="C22" s="4" t="s">
        <v>39</v>
      </c>
      <c r="D22" s="4" t="s">
        <v>88</v>
      </c>
      <c r="E22" s="4" t="s">
        <v>23</v>
      </c>
      <c r="F22" s="4" t="s">
        <v>12</v>
      </c>
      <c r="G22" s="4" t="s">
        <v>76</v>
      </c>
    </row>
    <row r="23" spans="1:7" ht="90" customHeight="1" x14ac:dyDescent="0.35">
      <c r="A23" s="2" t="s">
        <v>89</v>
      </c>
      <c r="B23" s="3" t="s">
        <v>90</v>
      </c>
      <c r="C23" s="4" t="s">
        <v>39</v>
      </c>
      <c r="D23" s="4" t="s">
        <v>91</v>
      </c>
      <c r="E23" s="4" t="s">
        <v>92</v>
      </c>
      <c r="F23" s="4" t="s">
        <v>12</v>
      </c>
      <c r="G23" s="4" t="s">
        <v>76</v>
      </c>
    </row>
    <row r="24" spans="1:7" ht="90" customHeight="1" x14ac:dyDescent="0.35">
      <c r="A24" s="2" t="s">
        <v>93</v>
      </c>
      <c r="B24" s="3" t="s">
        <v>94</v>
      </c>
      <c r="C24" s="4" t="s">
        <v>39</v>
      </c>
      <c r="D24" s="4" t="s">
        <v>95</v>
      </c>
      <c r="E24" s="4" t="s">
        <v>23</v>
      </c>
      <c r="F24" s="4" t="s">
        <v>12</v>
      </c>
      <c r="G24" s="4" t="s">
        <v>76</v>
      </c>
    </row>
    <row r="25" spans="1:7" ht="90" customHeight="1" x14ac:dyDescent="0.35">
      <c r="A25" s="2" t="s">
        <v>96</v>
      </c>
      <c r="B25" s="3" t="s">
        <v>97</v>
      </c>
      <c r="C25" s="4" t="s">
        <v>54</v>
      </c>
      <c r="D25" s="4" t="s">
        <v>98</v>
      </c>
      <c r="E25" s="4" t="s">
        <v>28</v>
      </c>
      <c r="F25" s="4" t="s">
        <v>12</v>
      </c>
      <c r="G25" s="4" t="s">
        <v>76</v>
      </c>
    </row>
    <row r="26" spans="1:7" ht="90" customHeight="1" x14ac:dyDescent="0.35">
      <c r="A26" s="2" t="s">
        <v>99</v>
      </c>
      <c r="B26" s="3" t="s">
        <v>100</v>
      </c>
      <c r="C26" s="4" t="s">
        <v>74</v>
      </c>
      <c r="D26" s="4" t="s">
        <v>101</v>
      </c>
      <c r="E26" s="4" t="s">
        <v>23</v>
      </c>
      <c r="F26" s="4" t="s">
        <v>12</v>
      </c>
      <c r="G26" s="4" t="s">
        <v>76</v>
      </c>
    </row>
    <row r="27" spans="1:7" ht="90" customHeight="1" x14ac:dyDescent="0.35">
      <c r="A27" s="2" t="s">
        <v>102</v>
      </c>
      <c r="B27" s="3" t="s">
        <v>103</v>
      </c>
      <c r="C27" s="4" t="s">
        <v>104</v>
      </c>
      <c r="D27" s="4" t="s">
        <v>105</v>
      </c>
      <c r="E27" s="4" t="s">
        <v>106</v>
      </c>
      <c r="F27" s="4" t="s">
        <v>12</v>
      </c>
      <c r="G27" s="4" t="s">
        <v>107</v>
      </c>
    </row>
    <row r="28" spans="1:7" ht="90" customHeight="1" x14ac:dyDescent="0.35">
      <c r="A28" s="2" t="s">
        <v>108</v>
      </c>
      <c r="B28" s="3" t="s">
        <v>109</v>
      </c>
      <c r="C28" s="4" t="s">
        <v>74</v>
      </c>
      <c r="D28" s="4" t="s">
        <v>110</v>
      </c>
      <c r="E28" s="4" t="s">
        <v>23</v>
      </c>
      <c r="F28" s="4" t="s">
        <v>12</v>
      </c>
      <c r="G28" s="4" t="s">
        <v>107</v>
      </c>
    </row>
    <row r="29" spans="1:7" ht="90" customHeight="1" x14ac:dyDescent="0.35">
      <c r="A29" s="2" t="s">
        <v>111</v>
      </c>
      <c r="B29" s="3" t="s">
        <v>112</v>
      </c>
      <c r="C29" s="4" t="s">
        <v>113</v>
      </c>
      <c r="D29" s="4" t="s">
        <v>114</v>
      </c>
      <c r="E29" s="4" t="s">
        <v>23</v>
      </c>
      <c r="F29" s="4" t="s">
        <v>12</v>
      </c>
      <c r="G29" s="4" t="s">
        <v>115</v>
      </c>
    </row>
    <row r="30" spans="1:7" ht="90" customHeight="1" x14ac:dyDescent="0.35">
      <c r="A30" s="2" t="s">
        <v>116</v>
      </c>
      <c r="B30" s="3" t="s">
        <v>117</v>
      </c>
      <c r="C30" s="4" t="s">
        <v>16</v>
      </c>
      <c r="D30" s="4" t="s">
        <v>118</v>
      </c>
      <c r="E30" s="4" t="s">
        <v>23</v>
      </c>
      <c r="F30" s="4" t="s">
        <v>12</v>
      </c>
      <c r="G30" s="4" t="s">
        <v>119</v>
      </c>
    </row>
    <row r="31" spans="1:7" ht="90" customHeight="1" x14ac:dyDescent="0.35">
      <c r="A31" s="2" t="s">
        <v>120</v>
      </c>
      <c r="B31" s="3" t="s">
        <v>121</v>
      </c>
      <c r="C31" s="4" t="s">
        <v>74</v>
      </c>
      <c r="D31" s="4" t="s">
        <v>122</v>
      </c>
      <c r="E31" s="4" t="s">
        <v>23</v>
      </c>
      <c r="F31" s="4" t="s">
        <v>12</v>
      </c>
      <c r="G31" s="4" t="s">
        <v>123</v>
      </c>
    </row>
    <row r="32" spans="1:7" ht="90" customHeight="1" x14ac:dyDescent="0.35">
      <c r="A32" s="2" t="s">
        <v>124</v>
      </c>
      <c r="B32" s="3" t="s">
        <v>125</v>
      </c>
      <c r="C32" s="4" t="s">
        <v>74</v>
      </c>
      <c r="D32" s="4" t="s">
        <v>126</v>
      </c>
      <c r="E32" s="4" t="s">
        <v>23</v>
      </c>
      <c r="F32" s="4" t="s">
        <v>12</v>
      </c>
      <c r="G32" s="4" t="s">
        <v>19</v>
      </c>
    </row>
    <row r="33" spans="1:7" ht="90" customHeight="1" x14ac:dyDescent="0.35">
      <c r="A33" s="2" t="s">
        <v>127</v>
      </c>
      <c r="B33" s="3" t="s">
        <v>128</v>
      </c>
      <c r="C33" s="4" t="s">
        <v>74</v>
      </c>
      <c r="D33" s="4" t="s">
        <v>129</v>
      </c>
      <c r="E33" s="4" t="s">
        <v>23</v>
      </c>
      <c r="F33" s="4" t="s">
        <v>12</v>
      </c>
      <c r="G33" s="4" t="s">
        <v>130</v>
      </c>
    </row>
    <row r="34" spans="1:7" ht="90" customHeight="1" x14ac:dyDescent="0.35">
      <c r="A34" s="2" t="s">
        <v>131</v>
      </c>
      <c r="B34" s="3" t="s">
        <v>132</v>
      </c>
      <c r="C34" s="4" t="s">
        <v>74</v>
      </c>
      <c r="D34" s="4" t="s">
        <v>133</v>
      </c>
      <c r="E34" s="4" t="s">
        <v>23</v>
      </c>
      <c r="F34" s="4" t="s">
        <v>12</v>
      </c>
      <c r="G34" s="4" t="s">
        <v>134</v>
      </c>
    </row>
    <row r="35" spans="1:7" ht="90" customHeight="1" x14ac:dyDescent="0.35">
      <c r="A35" s="2" t="s">
        <v>135</v>
      </c>
      <c r="B35" s="3" t="s">
        <v>136</v>
      </c>
      <c r="C35" s="4" t="s">
        <v>39</v>
      </c>
      <c r="D35" s="4" t="s">
        <v>137</v>
      </c>
      <c r="E35" s="4" t="s">
        <v>23</v>
      </c>
      <c r="F35" s="4" t="s">
        <v>12</v>
      </c>
      <c r="G35" s="4" t="s">
        <v>41</v>
      </c>
    </row>
    <row r="36" spans="1:7" ht="90" customHeight="1" x14ac:dyDescent="0.35">
      <c r="A36" s="2" t="s">
        <v>138</v>
      </c>
      <c r="B36" s="3" t="s">
        <v>139</v>
      </c>
      <c r="C36" s="4" t="s">
        <v>34</v>
      </c>
      <c r="D36" s="4" t="s">
        <v>140</v>
      </c>
      <c r="E36" s="4" t="s">
        <v>45</v>
      </c>
      <c r="F36" s="4" t="s">
        <v>12</v>
      </c>
      <c r="G36" s="4" t="s">
        <v>41</v>
      </c>
    </row>
    <row r="37" spans="1:7" ht="90" customHeight="1" x14ac:dyDescent="0.35">
      <c r="A37" s="2" t="s">
        <v>141</v>
      </c>
      <c r="B37" s="3" t="s">
        <v>142</v>
      </c>
      <c r="C37" s="4" t="s">
        <v>34</v>
      </c>
      <c r="D37" s="4" t="s">
        <v>143</v>
      </c>
      <c r="E37" s="4" t="s">
        <v>45</v>
      </c>
      <c r="F37" s="4" t="s">
        <v>12</v>
      </c>
      <c r="G37" s="4" t="s">
        <v>41</v>
      </c>
    </row>
    <row r="38" spans="1:7" ht="90" customHeight="1" x14ac:dyDescent="0.35">
      <c r="A38" s="2" t="s">
        <v>144</v>
      </c>
      <c r="B38" s="3" t="s">
        <v>145</v>
      </c>
      <c r="C38" s="4" t="s">
        <v>54</v>
      </c>
      <c r="D38" s="4" t="s">
        <v>146</v>
      </c>
      <c r="E38" s="4" t="s">
        <v>18</v>
      </c>
      <c r="F38" s="4" t="s">
        <v>12</v>
      </c>
      <c r="G38" s="4" t="s">
        <v>41</v>
      </c>
    </row>
    <row r="39" spans="1:7" ht="90" customHeight="1" x14ac:dyDescent="0.35">
      <c r="A39" s="2" t="s">
        <v>147</v>
      </c>
      <c r="B39" s="3" t="s">
        <v>148</v>
      </c>
      <c r="C39" s="4" t="s">
        <v>34</v>
      </c>
      <c r="D39" s="4" t="s">
        <v>149</v>
      </c>
      <c r="E39" s="4" t="s">
        <v>45</v>
      </c>
      <c r="F39" s="4" t="s">
        <v>12</v>
      </c>
      <c r="G39" s="4" t="s">
        <v>41</v>
      </c>
    </row>
    <row r="40" spans="1:7" ht="90" customHeight="1" x14ac:dyDescent="0.35">
      <c r="A40" s="2" t="s">
        <v>150</v>
      </c>
      <c r="B40" s="3" t="s">
        <v>151</v>
      </c>
      <c r="C40" s="4" t="s">
        <v>54</v>
      </c>
      <c r="D40" s="4" t="s">
        <v>152</v>
      </c>
      <c r="E40" s="4" t="s">
        <v>18</v>
      </c>
      <c r="F40" s="4" t="s">
        <v>12</v>
      </c>
      <c r="G40" s="4" t="s">
        <v>41</v>
      </c>
    </row>
    <row r="41" spans="1:7" ht="90" customHeight="1" x14ac:dyDescent="0.35">
      <c r="A41" s="2" t="s">
        <v>153</v>
      </c>
      <c r="B41" s="3" t="s">
        <v>154</v>
      </c>
      <c r="C41" s="4" t="s">
        <v>39</v>
      </c>
      <c r="D41" s="4" t="s">
        <v>155</v>
      </c>
      <c r="E41" s="4" t="s">
        <v>45</v>
      </c>
      <c r="F41" s="4" t="s">
        <v>12</v>
      </c>
      <c r="G41" s="4" t="s">
        <v>41</v>
      </c>
    </row>
    <row r="42" spans="1:7" ht="90" customHeight="1" x14ac:dyDescent="0.35">
      <c r="A42" s="2" t="s">
        <v>156</v>
      </c>
      <c r="B42" s="3" t="s">
        <v>157</v>
      </c>
      <c r="C42" s="4" t="s">
        <v>34</v>
      </c>
      <c r="D42" s="4" t="s">
        <v>158</v>
      </c>
      <c r="E42" s="4" t="s">
        <v>45</v>
      </c>
      <c r="F42" s="4" t="s">
        <v>12</v>
      </c>
      <c r="G42" s="4" t="s">
        <v>41</v>
      </c>
    </row>
    <row r="43" spans="1:7" ht="90" customHeight="1" x14ac:dyDescent="0.35">
      <c r="A43" s="2" t="s">
        <v>159</v>
      </c>
      <c r="B43" s="3" t="s">
        <v>160</v>
      </c>
      <c r="C43" s="4" t="s">
        <v>104</v>
      </c>
      <c r="D43" s="4" t="s">
        <v>161</v>
      </c>
      <c r="E43" s="4" t="s">
        <v>162</v>
      </c>
      <c r="F43" s="4" t="s">
        <v>12</v>
      </c>
      <c r="G43" s="4" t="s">
        <v>19</v>
      </c>
    </row>
    <row r="44" spans="1:7" ht="90" customHeight="1" x14ac:dyDescent="0.35">
      <c r="A44" s="2" t="s">
        <v>163</v>
      </c>
      <c r="B44" s="3" t="s">
        <v>164</v>
      </c>
      <c r="C44" s="4" t="s">
        <v>113</v>
      </c>
      <c r="D44" s="4" t="s">
        <v>165</v>
      </c>
      <c r="E44" s="4" t="s">
        <v>23</v>
      </c>
      <c r="F44" s="4" t="s">
        <v>12</v>
      </c>
      <c r="G44" s="4" t="s">
        <v>19</v>
      </c>
    </row>
    <row r="45" spans="1:7" ht="90" customHeight="1" x14ac:dyDescent="0.35">
      <c r="A45" s="2" t="s">
        <v>166</v>
      </c>
      <c r="B45" s="3" t="s">
        <v>167</v>
      </c>
      <c r="C45" s="4" t="s">
        <v>113</v>
      </c>
      <c r="D45" s="4" t="s">
        <v>168</v>
      </c>
      <c r="E45" s="4" t="s">
        <v>23</v>
      </c>
      <c r="F45" s="4" t="s">
        <v>12</v>
      </c>
      <c r="G45" s="4" t="s">
        <v>19</v>
      </c>
    </row>
    <row r="46" spans="1:7" ht="90" customHeight="1" x14ac:dyDescent="0.35">
      <c r="A46" s="2" t="s">
        <v>169</v>
      </c>
      <c r="B46" s="3" t="s">
        <v>170</v>
      </c>
      <c r="C46" s="4" t="s">
        <v>54</v>
      </c>
      <c r="D46" s="4" t="s">
        <v>171</v>
      </c>
      <c r="E46" s="4" t="s">
        <v>18</v>
      </c>
      <c r="F46" s="4" t="s">
        <v>12</v>
      </c>
      <c r="G46" s="4" t="s">
        <v>19</v>
      </c>
    </row>
    <row r="47" spans="1:7" ht="90" customHeight="1" x14ac:dyDescent="0.35">
      <c r="A47" s="2" t="s">
        <v>172</v>
      </c>
      <c r="B47" s="3" t="s">
        <v>173</v>
      </c>
      <c r="C47" s="4" t="s">
        <v>174</v>
      </c>
      <c r="D47" s="4" t="s">
        <v>175</v>
      </c>
      <c r="E47" s="4" t="s">
        <v>176</v>
      </c>
      <c r="F47" s="4" t="s">
        <v>12</v>
      </c>
      <c r="G47" s="4" t="s">
        <v>19</v>
      </c>
    </row>
    <row r="48" spans="1:7" ht="90" customHeight="1" x14ac:dyDescent="0.35">
      <c r="A48" s="2" t="s">
        <v>177</v>
      </c>
      <c r="B48" s="3" t="s">
        <v>178</v>
      </c>
      <c r="C48" s="4" t="s">
        <v>179</v>
      </c>
      <c r="D48" s="4" t="s">
        <v>180</v>
      </c>
      <c r="E48" s="4" t="s">
        <v>23</v>
      </c>
      <c r="F48" s="4" t="s">
        <v>12</v>
      </c>
      <c r="G48" s="4" t="s">
        <v>19</v>
      </c>
    </row>
    <row r="49" spans="1:7" ht="90" customHeight="1" x14ac:dyDescent="0.35">
      <c r="A49" s="2" t="s">
        <v>181</v>
      </c>
      <c r="B49" s="3" t="s">
        <v>182</v>
      </c>
      <c r="C49" s="4" t="s">
        <v>54</v>
      </c>
      <c r="D49" s="4" t="s">
        <v>183</v>
      </c>
      <c r="E49" s="4" t="s">
        <v>18</v>
      </c>
      <c r="F49" s="4" t="s">
        <v>12</v>
      </c>
      <c r="G49" s="4" t="s">
        <v>76</v>
      </c>
    </row>
    <row r="50" spans="1:7" ht="90" customHeight="1" x14ac:dyDescent="0.35">
      <c r="A50" s="2" t="s">
        <v>184</v>
      </c>
      <c r="B50" s="3" t="s">
        <v>185</v>
      </c>
      <c r="C50" s="4" t="s">
        <v>54</v>
      </c>
      <c r="D50" s="4" t="s">
        <v>186</v>
      </c>
      <c r="E50" s="4" t="s">
        <v>18</v>
      </c>
      <c r="F50" s="4" t="s">
        <v>12</v>
      </c>
      <c r="G50" s="4" t="s">
        <v>76</v>
      </c>
    </row>
    <row r="51" spans="1:7" ht="90" customHeight="1" x14ac:dyDescent="0.35">
      <c r="A51" s="2" t="s">
        <v>187</v>
      </c>
      <c r="B51" s="3" t="s">
        <v>188</v>
      </c>
      <c r="C51" s="4" t="s">
        <v>54</v>
      </c>
      <c r="D51" s="4" t="s">
        <v>189</v>
      </c>
      <c r="E51" s="4" t="s">
        <v>18</v>
      </c>
      <c r="F51" s="4" t="s">
        <v>12</v>
      </c>
      <c r="G51" s="4" t="s">
        <v>19</v>
      </c>
    </row>
    <row r="52" spans="1:7" ht="90" customHeight="1" x14ac:dyDescent="0.35">
      <c r="A52" s="2" t="s">
        <v>190</v>
      </c>
      <c r="B52" s="3" t="s">
        <v>191</v>
      </c>
      <c r="C52" s="4" t="s">
        <v>74</v>
      </c>
      <c r="D52" s="4" t="s">
        <v>192</v>
      </c>
      <c r="E52" s="4" t="s">
        <v>23</v>
      </c>
      <c r="F52" s="4" t="s">
        <v>12</v>
      </c>
      <c r="G52" s="4" t="s">
        <v>19</v>
      </c>
    </row>
    <row r="53" spans="1:7" ht="90" customHeight="1" x14ac:dyDescent="0.35">
      <c r="A53" s="2" t="s">
        <v>193</v>
      </c>
      <c r="B53" s="3" t="s">
        <v>194</v>
      </c>
      <c r="C53" s="4" t="s">
        <v>74</v>
      </c>
      <c r="D53" s="4" t="s">
        <v>195</v>
      </c>
      <c r="E53" s="4" t="s">
        <v>23</v>
      </c>
      <c r="F53" s="4" t="s">
        <v>12</v>
      </c>
      <c r="G53" s="4" t="s">
        <v>123</v>
      </c>
    </row>
    <row r="54" spans="1:7" ht="90" customHeight="1" x14ac:dyDescent="0.35">
      <c r="A54" s="2" t="s">
        <v>196</v>
      </c>
      <c r="B54" s="3" t="s">
        <v>197</v>
      </c>
      <c r="C54" s="4" t="s">
        <v>54</v>
      </c>
      <c r="D54" s="4" t="s">
        <v>198</v>
      </c>
      <c r="E54" s="4" t="s">
        <v>18</v>
      </c>
      <c r="F54" s="4" t="s">
        <v>12</v>
      </c>
      <c r="G54" s="4" t="s">
        <v>123</v>
      </c>
    </row>
    <row r="55" spans="1:7" ht="90" customHeight="1" x14ac:dyDescent="0.35">
      <c r="A55" s="2" t="s">
        <v>199</v>
      </c>
      <c r="B55" s="3" t="s">
        <v>200</v>
      </c>
      <c r="C55" s="4" t="s">
        <v>16</v>
      </c>
      <c r="D55" s="4" t="s">
        <v>201</v>
      </c>
      <c r="E55" s="4" t="s">
        <v>92</v>
      </c>
      <c r="F55" s="4" t="s">
        <v>12</v>
      </c>
      <c r="G55" s="4" t="s">
        <v>123</v>
      </c>
    </row>
    <row r="56" spans="1:7" ht="90" customHeight="1" x14ac:dyDescent="0.35">
      <c r="A56" s="2" t="s">
        <v>202</v>
      </c>
      <c r="B56" s="3" t="s">
        <v>203</v>
      </c>
      <c r="C56" s="4" t="s">
        <v>54</v>
      </c>
      <c r="D56" s="4" t="s">
        <v>204</v>
      </c>
      <c r="E56" s="4" t="s">
        <v>23</v>
      </c>
      <c r="F56" s="4" t="s">
        <v>12</v>
      </c>
      <c r="G56" s="4" t="s">
        <v>119</v>
      </c>
    </row>
    <row r="57" spans="1:7" ht="90" customHeight="1" x14ac:dyDescent="0.35">
      <c r="A57" s="2" t="s">
        <v>205</v>
      </c>
      <c r="B57" s="3" t="s">
        <v>206</v>
      </c>
      <c r="C57" s="4" t="s">
        <v>113</v>
      </c>
      <c r="D57" s="4" t="s">
        <v>207</v>
      </c>
      <c r="E57" s="4" t="s">
        <v>23</v>
      </c>
      <c r="F57" s="4" t="s">
        <v>12</v>
      </c>
      <c r="G57" s="4" t="s">
        <v>115</v>
      </c>
    </row>
    <row r="58" spans="1:7" ht="90" customHeight="1" x14ac:dyDescent="0.35">
      <c r="A58" s="2" t="s">
        <v>208</v>
      </c>
      <c r="B58" s="3" t="s">
        <v>209</v>
      </c>
      <c r="C58" s="4" t="s">
        <v>74</v>
      </c>
      <c r="D58" s="4" t="s">
        <v>210</v>
      </c>
      <c r="E58" s="4" t="s">
        <v>23</v>
      </c>
      <c r="F58" s="4" t="s">
        <v>12</v>
      </c>
      <c r="G58" s="4" t="s">
        <v>115</v>
      </c>
    </row>
    <row r="59" spans="1:7" ht="90" customHeight="1" x14ac:dyDescent="0.35">
      <c r="A59" s="2" t="s">
        <v>211</v>
      </c>
      <c r="B59" s="3" t="s">
        <v>212</v>
      </c>
      <c r="C59" s="4" t="s">
        <v>39</v>
      </c>
      <c r="D59" s="4" t="s">
        <v>213</v>
      </c>
      <c r="E59" s="4" t="s">
        <v>23</v>
      </c>
      <c r="F59" s="4" t="s">
        <v>12</v>
      </c>
      <c r="G59" s="4" t="s">
        <v>41</v>
      </c>
    </row>
    <row r="60" spans="1:7" ht="90" customHeight="1" x14ac:dyDescent="0.35">
      <c r="A60" s="2" t="s">
        <v>214</v>
      </c>
      <c r="B60" s="3" t="s">
        <v>215</v>
      </c>
      <c r="C60" s="4" t="s">
        <v>54</v>
      </c>
      <c r="D60" s="4" t="s">
        <v>216</v>
      </c>
      <c r="E60" s="4" t="s">
        <v>18</v>
      </c>
      <c r="F60" s="4" t="s">
        <v>12</v>
      </c>
      <c r="G60" s="4" t="s">
        <v>41</v>
      </c>
    </row>
    <row r="61" spans="1:7" ht="90" customHeight="1" x14ac:dyDescent="0.35">
      <c r="A61" s="2" t="s">
        <v>217</v>
      </c>
      <c r="B61" s="3" t="s">
        <v>218</v>
      </c>
      <c r="C61" s="4" t="s">
        <v>74</v>
      </c>
      <c r="D61" s="4" t="s">
        <v>219</v>
      </c>
      <c r="E61" s="4" t="s">
        <v>23</v>
      </c>
      <c r="F61" s="4" t="s">
        <v>12</v>
      </c>
      <c r="G61" s="4" t="s">
        <v>130</v>
      </c>
    </row>
    <row r="62" spans="1:7" ht="90" customHeight="1" x14ac:dyDescent="0.35">
      <c r="A62" s="2" t="s">
        <v>220</v>
      </c>
      <c r="B62" s="3" t="s">
        <v>221</v>
      </c>
      <c r="C62" s="4" t="s">
        <v>74</v>
      </c>
      <c r="D62" s="4" t="s">
        <v>222</v>
      </c>
      <c r="E62" s="4" t="s">
        <v>23</v>
      </c>
      <c r="F62" s="4" t="s">
        <v>12</v>
      </c>
      <c r="G62" s="4" t="s">
        <v>130</v>
      </c>
    </row>
    <row r="63" spans="1:7" ht="90" customHeight="1" x14ac:dyDescent="0.35">
      <c r="A63" s="2" t="s">
        <v>223</v>
      </c>
      <c r="B63" s="3" t="s">
        <v>224</v>
      </c>
      <c r="C63" s="4" t="s">
        <v>54</v>
      </c>
      <c r="D63" s="4" t="s">
        <v>225</v>
      </c>
      <c r="E63" s="4" t="s">
        <v>18</v>
      </c>
      <c r="F63" s="4" t="s">
        <v>12</v>
      </c>
      <c r="G63" s="4" t="s">
        <v>130</v>
      </c>
    </row>
    <row r="64" spans="1:7" ht="90" customHeight="1" x14ac:dyDescent="0.35">
      <c r="A64" s="2" t="s">
        <v>226</v>
      </c>
      <c r="B64" s="3" t="s">
        <v>227</v>
      </c>
      <c r="C64" s="4" t="s">
        <v>74</v>
      </c>
      <c r="D64" s="4" t="s">
        <v>228</v>
      </c>
      <c r="E64" s="4" t="s">
        <v>23</v>
      </c>
      <c r="F64" s="4" t="s">
        <v>12</v>
      </c>
      <c r="G64" s="4" t="s">
        <v>19</v>
      </c>
    </row>
    <row r="65" spans="1:7" ht="90" customHeight="1" x14ac:dyDescent="0.35">
      <c r="A65" s="2" t="s">
        <v>229</v>
      </c>
      <c r="B65" s="3" t="s">
        <v>230</v>
      </c>
      <c r="C65" s="4" t="s">
        <v>104</v>
      </c>
      <c r="D65" s="4" t="s">
        <v>231</v>
      </c>
      <c r="E65" s="4" t="s">
        <v>162</v>
      </c>
      <c r="F65" s="4" t="s">
        <v>12</v>
      </c>
      <c r="G65" s="4" t="s">
        <v>19</v>
      </c>
    </row>
    <row r="66" spans="1:7" ht="90" customHeight="1" x14ac:dyDescent="0.35">
      <c r="A66" s="2" t="s">
        <v>232</v>
      </c>
      <c r="B66" s="3" t="s">
        <v>233</v>
      </c>
      <c r="C66" s="4" t="s">
        <v>54</v>
      </c>
      <c r="D66" s="4" t="s">
        <v>234</v>
      </c>
      <c r="E66" s="4" t="s">
        <v>23</v>
      </c>
      <c r="F66" s="4" t="s">
        <v>12</v>
      </c>
      <c r="G66" s="4" t="s">
        <v>130</v>
      </c>
    </row>
    <row r="67" spans="1:7" ht="90" customHeight="1" x14ac:dyDescent="0.35">
      <c r="A67" s="2" t="s">
        <v>235</v>
      </c>
      <c r="B67" s="3" t="s">
        <v>236</v>
      </c>
      <c r="C67" s="4" t="s">
        <v>39</v>
      </c>
      <c r="D67" s="4" t="s">
        <v>237</v>
      </c>
      <c r="E67" s="4" t="s">
        <v>23</v>
      </c>
      <c r="F67" s="4" t="s">
        <v>12</v>
      </c>
      <c r="G67" s="4" t="s">
        <v>134</v>
      </c>
    </row>
    <row r="68" spans="1:7" ht="90" customHeight="1" x14ac:dyDescent="0.35">
      <c r="A68" s="2" t="s">
        <v>238</v>
      </c>
      <c r="B68" s="3" t="s">
        <v>239</v>
      </c>
      <c r="C68" s="4" t="s">
        <v>74</v>
      </c>
      <c r="D68" s="4" t="s">
        <v>240</v>
      </c>
      <c r="E68" s="4" t="s">
        <v>23</v>
      </c>
      <c r="F68" s="4" t="s">
        <v>12</v>
      </c>
      <c r="G68" s="4" t="s">
        <v>241</v>
      </c>
    </row>
    <row r="69" spans="1:7" ht="90" customHeight="1" x14ac:dyDescent="0.35">
      <c r="A69" s="2" t="s">
        <v>242</v>
      </c>
      <c r="B69" s="3" t="s">
        <v>243</v>
      </c>
      <c r="C69" s="4" t="s">
        <v>104</v>
      </c>
      <c r="D69" s="4" t="s">
        <v>244</v>
      </c>
      <c r="E69" s="4" t="s">
        <v>162</v>
      </c>
      <c r="F69" s="4" t="s">
        <v>12</v>
      </c>
      <c r="G69" s="4" t="s">
        <v>241</v>
      </c>
    </row>
    <row r="70" spans="1:7" ht="90" customHeight="1" x14ac:dyDescent="0.35">
      <c r="A70" s="2" t="s">
        <v>245</v>
      </c>
      <c r="B70" s="3" t="s">
        <v>246</v>
      </c>
      <c r="C70" s="4" t="s">
        <v>247</v>
      </c>
      <c r="D70" s="4" t="s">
        <v>248</v>
      </c>
      <c r="E70" s="4" t="s">
        <v>249</v>
      </c>
      <c r="F70" s="4" t="s">
        <v>12</v>
      </c>
      <c r="G70" s="4" t="s">
        <v>250</v>
      </c>
    </row>
    <row r="71" spans="1:7" ht="90" customHeight="1" x14ac:dyDescent="0.35">
      <c r="A71" s="2" t="s">
        <v>251</v>
      </c>
      <c r="B71" s="3" t="s">
        <v>252</v>
      </c>
      <c r="C71" s="4" t="s">
        <v>253</v>
      </c>
      <c r="D71" s="4" t="s">
        <v>254</v>
      </c>
      <c r="E71" s="4" t="s">
        <v>249</v>
      </c>
      <c r="F71" s="4" t="s">
        <v>12</v>
      </c>
      <c r="G71" s="4" t="s">
        <v>250</v>
      </c>
    </row>
  </sheetData>
  <autoFilter ref="A1:G71" xr:uid="{00000000-0009-0000-00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showGridLines="0" tabSelected="1" workbookViewId="0">
      <pane ySplit="6" topLeftCell="A7" activePane="bottomLeft" state="frozen"/>
      <selection pane="bottomLeft" activeCell="E10" sqref="E10"/>
    </sheetView>
  </sheetViews>
  <sheetFormatPr baseColWidth="10" defaultColWidth="8.7265625" defaultRowHeight="14.5" x14ac:dyDescent="0.35"/>
  <cols>
    <col min="1" max="1" width="38" customWidth="1"/>
    <col min="2" max="2" width="22" customWidth="1"/>
  </cols>
  <sheetData>
    <row r="1" spans="1:2" ht="21" x14ac:dyDescent="0.5">
      <c r="A1" s="5" t="s">
        <v>255</v>
      </c>
    </row>
    <row r="3" spans="1:2" x14ac:dyDescent="0.35">
      <c r="A3" t="s">
        <v>256</v>
      </c>
      <c r="B3">
        <v>70</v>
      </c>
    </row>
    <row r="4" spans="1:2" x14ac:dyDescent="0.35">
      <c r="A4" t="s">
        <v>257</v>
      </c>
      <c r="B4" t="s">
        <v>12</v>
      </c>
    </row>
    <row r="6" spans="1:2" x14ac:dyDescent="0.35">
      <c r="A6" s="6" t="s">
        <v>258</v>
      </c>
      <c r="B6" s="7"/>
    </row>
    <row r="7" spans="1:2" x14ac:dyDescent="0.35">
      <c r="A7" s="8" t="s">
        <v>41</v>
      </c>
      <c r="B7" s="8">
        <v>18</v>
      </c>
    </row>
    <row r="8" spans="1:2" x14ac:dyDescent="0.35">
      <c r="A8" s="8" t="s">
        <v>241</v>
      </c>
      <c r="B8" s="8">
        <v>2</v>
      </c>
    </row>
    <row r="9" spans="1:2" x14ac:dyDescent="0.35">
      <c r="A9" s="8" t="s">
        <v>19</v>
      </c>
      <c r="B9" s="8">
        <v>20</v>
      </c>
    </row>
    <row r="10" spans="1:2" x14ac:dyDescent="0.35">
      <c r="A10" s="8" t="s">
        <v>134</v>
      </c>
      <c r="B10" s="8">
        <v>2</v>
      </c>
    </row>
    <row r="11" spans="1:2" x14ac:dyDescent="0.35">
      <c r="A11" s="8" t="s">
        <v>123</v>
      </c>
      <c r="B11" s="8">
        <v>4</v>
      </c>
    </row>
    <row r="12" spans="1:2" x14ac:dyDescent="0.35">
      <c r="A12" s="8" t="s">
        <v>130</v>
      </c>
      <c r="B12" s="8">
        <v>5</v>
      </c>
    </row>
    <row r="13" spans="1:2" x14ac:dyDescent="0.35">
      <c r="A13" s="8" t="s">
        <v>119</v>
      </c>
      <c r="B13" s="8">
        <v>2</v>
      </c>
    </row>
    <row r="14" spans="1:2" x14ac:dyDescent="0.35">
      <c r="A14" s="8" t="s">
        <v>115</v>
      </c>
      <c r="B14" s="8">
        <v>3</v>
      </c>
    </row>
    <row r="15" spans="1:2" x14ac:dyDescent="0.35">
      <c r="A15" s="8" t="s">
        <v>13</v>
      </c>
      <c r="B15" s="8">
        <v>1</v>
      </c>
    </row>
    <row r="16" spans="1:2" x14ac:dyDescent="0.35">
      <c r="A16" s="8" t="s">
        <v>107</v>
      </c>
      <c r="B16" s="8">
        <v>2</v>
      </c>
    </row>
    <row r="17" spans="1:2" x14ac:dyDescent="0.35">
      <c r="A17" s="8" t="s">
        <v>250</v>
      </c>
      <c r="B17" s="8">
        <v>2</v>
      </c>
    </row>
    <row r="18" spans="1:2" x14ac:dyDescent="0.35">
      <c r="A18" s="8" t="s">
        <v>76</v>
      </c>
      <c r="B18" s="8">
        <v>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28" customWidth="1"/>
    <col min="2" max="2" width="115" customWidth="1"/>
  </cols>
  <sheetData>
    <row r="1" spans="1:2" x14ac:dyDescent="0.35">
      <c r="A1" s="9" t="s">
        <v>259</v>
      </c>
      <c r="B1" s="9" t="s">
        <v>260</v>
      </c>
    </row>
    <row r="2" spans="1:2" ht="48" customHeight="1" x14ac:dyDescent="0.35">
      <c r="A2" s="10" t="s">
        <v>261</v>
      </c>
      <c r="B2" s="10" t="s">
        <v>262</v>
      </c>
    </row>
    <row r="3" spans="1:2" ht="48" customHeight="1" x14ac:dyDescent="0.35">
      <c r="A3" s="10" t="s">
        <v>263</v>
      </c>
      <c r="B3" s="10" t="s">
        <v>264</v>
      </c>
    </row>
    <row r="4" spans="1:2" ht="48" customHeight="1" x14ac:dyDescent="0.35">
      <c r="A4" s="10" t="s">
        <v>4</v>
      </c>
      <c r="B4" s="10" t="s">
        <v>265</v>
      </c>
    </row>
    <row r="5" spans="1:2" ht="48" customHeight="1" x14ac:dyDescent="0.35">
      <c r="A5" s="10" t="s">
        <v>5</v>
      </c>
      <c r="B5" s="10" t="s">
        <v>266</v>
      </c>
    </row>
    <row r="6" spans="1:2" ht="48" customHeight="1" x14ac:dyDescent="0.35">
      <c r="A6" s="10" t="s">
        <v>267</v>
      </c>
      <c r="B6" s="10" t="s">
        <v>268</v>
      </c>
    </row>
    <row r="7" spans="1:2" ht="50" customHeight="1" x14ac:dyDescent="0.35">
      <c r="A7" s="11" t="s">
        <v>1</v>
      </c>
      <c r="B7" s="12" t="s">
        <v>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Feuil2</vt:lpstr>
      <vt:lpstr>Catalogue des mesures</vt:lpstr>
      <vt:lpstr>Synthèse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Manuel RAMANITRA</cp:lastModifiedBy>
  <dcterms:created xsi:type="dcterms:W3CDTF">2026-10-23T14:37:45Z</dcterms:created>
  <dcterms:modified xsi:type="dcterms:W3CDTF">2026-10-23T15:12:01Z</dcterms:modified>
</cp:coreProperties>
</file>